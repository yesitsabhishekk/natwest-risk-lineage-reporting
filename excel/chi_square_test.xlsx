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Github\natwest-risk-lineage-reporting\excel\"/>
    </mc:Choice>
  </mc:AlternateContent>
  <xr:revisionPtr revIDLastSave="0" documentId="8_{C2D0DC29-5B90-4E8C-AF1E-AD12F6FC1FB5}" xr6:coauthVersionLast="47" xr6:coauthVersionMax="47" xr10:uidLastSave="{00000000-0000-0000-0000-000000000000}"/>
  <bookViews>
    <workbookView xWindow="-98" yWindow="-98" windowWidth="22695" windowHeight="13546" activeTab="2" xr2:uid="{2887DE28-3E3B-46B0-9D95-90B00261014D}"/>
  </bookViews>
  <sheets>
    <sheet name="grade_summary" sheetId="1" r:id="rId1"/>
    <sheet name="contingency_table" sheetId="2" r:id="rId2"/>
    <sheet name="expected_values" sheetId="3" r:id="rId3"/>
  </sheets>
  <calcPr calcId="0"/>
</workbook>
</file>

<file path=xl/calcChain.xml><?xml version="1.0" encoding="utf-8"?>
<calcChain xmlns="http://schemas.openxmlformats.org/spreadsheetml/2006/main">
  <c r="C3" i="2" l="1"/>
  <c r="C4" i="2"/>
  <c r="C4" i="3" s="1"/>
  <c r="C5" i="2"/>
  <c r="C5" i="3" s="1"/>
  <c r="C6" i="2"/>
  <c r="B6" i="3" s="1"/>
  <c r="C2" i="2"/>
  <c r="C2" i="3" s="1"/>
  <c r="B3" i="2"/>
  <c r="C3" i="3" s="1"/>
  <c r="B4" i="2"/>
  <c r="B5" i="2"/>
  <c r="B6" i="2"/>
  <c r="B2" i="2"/>
  <c r="B9" i="3" l="1"/>
  <c r="B5" i="3"/>
  <c r="C6" i="3"/>
  <c r="B2" i="3"/>
  <c r="B4" i="3"/>
  <c r="B3" i="3"/>
</calcChain>
</file>

<file path=xl/sharedStrings.xml><?xml version="1.0" encoding="utf-8"?>
<sst xmlns="http://schemas.openxmlformats.org/spreadsheetml/2006/main" count="38" uniqueCount="27">
  <si>
    <t>derived_grade_code</t>
  </si>
  <si>
    <t>grade_label</t>
  </si>
  <si>
    <t>risk_weight</t>
  </si>
  <si>
    <t>num_loans</t>
  </si>
  <si>
    <t>total_exposure</t>
  </si>
  <si>
    <t>weighted_exposure</t>
  </si>
  <si>
    <t>num_defaulted</t>
  </si>
  <si>
    <t>num_paid</t>
  </si>
  <si>
    <t>num_unresolved</t>
  </si>
  <si>
    <t>default_rate_pct</t>
  </si>
  <si>
    <t>A</t>
  </si>
  <si>
    <t>Low Risk</t>
  </si>
  <si>
    <t>B</t>
  </si>
  <si>
    <t>Medium-Low Risk</t>
  </si>
  <si>
    <t>C</t>
  </si>
  <si>
    <t>Medium Risk</t>
  </si>
  <si>
    <t>D</t>
  </si>
  <si>
    <t>High Risk</t>
  </si>
  <si>
    <t>E</t>
  </si>
  <si>
    <t>Very High Risk</t>
  </si>
  <si>
    <t>default_expected</t>
  </si>
  <si>
    <t>paid_expected</t>
  </si>
  <si>
    <t>grade</t>
  </si>
  <si>
    <t>defaulted</t>
  </si>
  <si>
    <t>paid_not_defaulted</t>
  </si>
  <si>
    <t>chisq_test</t>
  </si>
  <si>
    <t>p &lt; 0.0001 (below floating-point display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</si>
</sst>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10" xfId="0" applyFont="1" applyFill="1" applyBorder="1"/>
    <xf numFmtId="0" fontId="0" fillId="34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B351A-31E8-4F97-AE7D-9F4EF3CC6563}" name="Table1" displayName="Table1" ref="A1:J6" totalsRowShown="0">
  <tableColumns count="10">
    <tableColumn id="1" xr3:uid="{E9F2F03E-BEC8-4EF1-BA40-EE0C841A529C}" name="derived_grade_code"/>
    <tableColumn id="2" xr3:uid="{3F942EB9-A8AA-437B-BA5A-3E05A02C0479}" name="grade_label"/>
    <tableColumn id="3" xr3:uid="{DAE984AD-7E5E-4C69-8188-0B5EEC10BE8A}" name="risk_weight"/>
    <tableColumn id="4" xr3:uid="{B0B6C2EE-1036-43DD-BD9C-9D33DE3AD5BB}" name="num_loans"/>
    <tableColumn id="5" xr3:uid="{5E5AD64F-0297-49C3-9B5A-229B17C8ACB9}" name="total_exposure"/>
    <tableColumn id="6" xr3:uid="{210EDC27-68FD-4913-82FD-F0B34EDD463F}" name="weighted_exposure"/>
    <tableColumn id="7" xr3:uid="{41FC28AD-F450-4952-B1EB-55918F0ADB2D}" name="num_defaulted"/>
    <tableColumn id="8" xr3:uid="{011F8562-551B-43CC-BEA1-EDF277FFFE67}" name="num_paid"/>
    <tableColumn id="9" xr3:uid="{DCB95B99-83A7-4C6A-97A2-DBD12D3A431A}" name="num_unresolved"/>
    <tableColumn id="10" xr3:uid="{68148BF2-8DD9-419C-9881-89A32D86FA98}" name="default_rate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57F1E4-8CAD-4050-9578-45948FB10DEC}" name="Table2" displayName="Table2" ref="A1:C6" totalsRowShown="0">
  <tableColumns count="3">
    <tableColumn id="1" xr3:uid="{3164443D-ECE2-4303-BCE2-92325D3B354B}" name="grade"/>
    <tableColumn id="2" xr3:uid="{B2FE0D12-6FBF-4AEC-8767-D67C325FA5C0}" name="defaulted">
      <calculatedColumnFormula>grade_summary!G2</calculatedColumnFormula>
    </tableColumn>
    <tableColumn id="3" xr3:uid="{70E7ECA0-197C-45EB-8448-F42F8FB306CB}" name="paid_not_defaulted">
      <calculatedColumnFormula>grade_summary!H2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A3FBFA-3210-4529-888F-50027512B726}" name="Table3" displayName="Table3" ref="A1:C6" totalsRowShown="0">
  <tableColumns count="3">
    <tableColumn id="1" xr3:uid="{10D2C351-4380-4568-B6EF-9020037C891E}" name="grade"/>
    <tableColumn id="2" xr3:uid="{35A1DFD1-C0AF-4863-949E-F5151E0CFB58}" name="default_expected">
      <calculatedColumnFormula>(SUM(contingency_table!$B2:$C2) * SUM(contingency_table!$B$2:$B$6)) / SUM(contingency_table!$B$2:$C$6)</calculatedColumnFormula>
    </tableColumn>
    <tableColumn id="3" xr3:uid="{174E2CFB-1EFF-41B7-87B6-825FD502C96E}" name="paid_expected">
      <calculatedColumnFormula>(SUM(contingency_table!$B2:$C2) * SUM(contingency_table!$C$2:$C$6)) / SUM(contingency_table!$B$2:$C$6)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5BCC-C70C-4A25-AB97-27031F5DC96F}">
  <dimension ref="A1:J6"/>
  <sheetViews>
    <sheetView workbookViewId="0">
      <selection activeCell="K2" sqref="K2"/>
    </sheetView>
  </sheetViews>
  <sheetFormatPr defaultRowHeight="14.25" x14ac:dyDescent="0.45"/>
  <cols>
    <col min="1" max="1" width="18.59765625" customWidth="1"/>
    <col min="2" max="2" width="14.46484375" bestFit="1" customWidth="1"/>
    <col min="3" max="3" width="11.59765625" customWidth="1"/>
    <col min="4" max="4" width="11.265625" customWidth="1"/>
    <col min="5" max="5" width="14.46484375" customWidth="1"/>
    <col min="6" max="6" width="18.06640625" customWidth="1"/>
    <col min="7" max="7" width="14.59765625" customWidth="1"/>
    <col min="8" max="8" width="10.33203125" customWidth="1"/>
    <col min="9" max="9" width="15.86328125" customWidth="1"/>
    <col min="10" max="10" width="15.59765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>
        <v>0.5</v>
      </c>
      <c r="D2">
        <v>381996</v>
      </c>
      <c r="E2">
        <v>5587912125</v>
      </c>
      <c r="F2">
        <v>2793956062.5</v>
      </c>
      <c r="G2">
        <v>11722</v>
      </c>
      <c r="H2">
        <v>188156</v>
      </c>
      <c r="I2">
        <v>182118</v>
      </c>
      <c r="J2">
        <v>5.86</v>
      </c>
    </row>
    <row r="3" spans="1:10" x14ac:dyDescent="0.45">
      <c r="A3" t="s">
        <v>12</v>
      </c>
      <c r="B3" t="s">
        <v>13</v>
      </c>
      <c r="C3">
        <v>1</v>
      </c>
      <c r="D3">
        <v>664903</v>
      </c>
      <c r="E3">
        <v>9455245400</v>
      </c>
      <c r="F3">
        <v>9455245400</v>
      </c>
      <c r="G3">
        <v>49617</v>
      </c>
      <c r="H3">
        <v>319870</v>
      </c>
      <c r="I3">
        <v>295416</v>
      </c>
      <c r="J3">
        <v>13.43</v>
      </c>
    </row>
    <row r="4" spans="1:10" x14ac:dyDescent="0.45">
      <c r="A4" t="s">
        <v>14</v>
      </c>
      <c r="B4" t="s">
        <v>15</v>
      </c>
      <c r="C4">
        <v>1.5</v>
      </c>
      <c r="D4">
        <v>661791</v>
      </c>
      <c r="E4">
        <v>9824927900</v>
      </c>
      <c r="F4">
        <v>14737391850</v>
      </c>
      <c r="G4">
        <v>88841</v>
      </c>
      <c r="H4">
        <v>322092</v>
      </c>
      <c r="I4">
        <v>250858</v>
      </c>
      <c r="J4">
        <v>21.62</v>
      </c>
    </row>
    <row r="5" spans="1:10" x14ac:dyDescent="0.45">
      <c r="A5" t="s">
        <v>16</v>
      </c>
      <c r="B5" t="s">
        <v>17</v>
      </c>
      <c r="C5">
        <v>2</v>
      </c>
      <c r="D5">
        <v>365993</v>
      </c>
      <c r="E5">
        <v>5868162225</v>
      </c>
      <c r="F5">
        <v>11736324450</v>
      </c>
      <c r="G5">
        <v>68757</v>
      </c>
      <c r="H5">
        <v>150467</v>
      </c>
      <c r="I5">
        <v>146769</v>
      </c>
      <c r="J5">
        <v>31.36</v>
      </c>
    </row>
    <row r="6" spans="1:10" x14ac:dyDescent="0.45">
      <c r="A6" t="s">
        <v>18</v>
      </c>
      <c r="B6" t="s">
        <v>19</v>
      </c>
      <c r="C6">
        <v>2.5</v>
      </c>
      <c r="D6">
        <v>185983</v>
      </c>
      <c r="E6">
        <v>3279828275</v>
      </c>
      <c r="F6">
        <v>8199570687.5</v>
      </c>
      <c r="G6">
        <v>43510</v>
      </c>
      <c r="H6">
        <v>63355</v>
      </c>
      <c r="I6">
        <v>79118</v>
      </c>
      <c r="J6">
        <v>40.71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7046-7FC9-45AC-B37D-F7EAC0BB0F99}">
  <dimension ref="A1:C6"/>
  <sheetViews>
    <sheetView workbookViewId="0">
      <selection activeCell="E12" sqref="E12"/>
    </sheetView>
  </sheetViews>
  <sheetFormatPr defaultRowHeight="14.25" x14ac:dyDescent="0.45"/>
  <cols>
    <col min="1" max="1" width="7.06640625" customWidth="1"/>
    <col min="2" max="2" width="10.265625" customWidth="1"/>
    <col min="3" max="3" width="17.86328125" customWidth="1"/>
  </cols>
  <sheetData>
    <row r="1" spans="1:3" x14ac:dyDescent="0.45">
      <c r="A1" t="s">
        <v>22</v>
      </c>
      <c r="B1" t="s">
        <v>23</v>
      </c>
      <c r="C1" t="s">
        <v>24</v>
      </c>
    </row>
    <row r="2" spans="1:3" x14ac:dyDescent="0.45">
      <c r="A2" t="s">
        <v>10</v>
      </c>
      <c r="B2">
        <f>grade_summary!G2</f>
        <v>11722</v>
      </c>
      <c r="C2">
        <f>grade_summary!H2</f>
        <v>188156</v>
      </c>
    </row>
    <row r="3" spans="1:3" x14ac:dyDescent="0.45">
      <c r="A3" t="s">
        <v>12</v>
      </c>
      <c r="B3">
        <f>grade_summary!G3</f>
        <v>49617</v>
      </c>
      <c r="C3">
        <f>grade_summary!H3</f>
        <v>319870</v>
      </c>
    </row>
    <row r="4" spans="1:3" x14ac:dyDescent="0.45">
      <c r="A4" t="s">
        <v>14</v>
      </c>
      <c r="B4">
        <f>grade_summary!G4</f>
        <v>88841</v>
      </c>
      <c r="C4">
        <f>grade_summary!H4</f>
        <v>322092</v>
      </c>
    </row>
    <row r="5" spans="1:3" x14ac:dyDescent="0.45">
      <c r="A5" t="s">
        <v>16</v>
      </c>
      <c r="B5">
        <f>grade_summary!G5</f>
        <v>68757</v>
      </c>
      <c r="C5">
        <f>grade_summary!H5</f>
        <v>150467</v>
      </c>
    </row>
    <row r="6" spans="1:3" x14ac:dyDescent="0.45">
      <c r="A6" t="s">
        <v>18</v>
      </c>
      <c r="B6">
        <f>grade_summary!G6</f>
        <v>43510</v>
      </c>
      <c r="C6">
        <f>grade_summary!H6</f>
        <v>63355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E01B-F783-431C-AAFB-4A2B4310A847}">
  <dimension ref="A1:C9"/>
  <sheetViews>
    <sheetView tabSelected="1" workbookViewId="0">
      <selection activeCell="F19" sqref="F19"/>
    </sheetView>
  </sheetViews>
  <sheetFormatPr defaultRowHeight="14.25" x14ac:dyDescent="0.45"/>
  <cols>
    <col min="1" max="1" width="8.796875" bestFit="1" customWidth="1"/>
    <col min="2" max="2" width="16.46484375" customWidth="1"/>
    <col min="3" max="3" width="14.19921875" customWidth="1"/>
  </cols>
  <sheetData>
    <row r="1" spans="1:3" x14ac:dyDescent="0.45">
      <c r="A1" t="s">
        <v>22</v>
      </c>
      <c r="B1" t="s">
        <v>20</v>
      </c>
      <c r="C1" t="s">
        <v>21</v>
      </c>
    </row>
    <row r="2" spans="1:3" x14ac:dyDescent="0.45">
      <c r="A2" t="s">
        <v>10</v>
      </c>
      <c r="B2">
        <f>(SUM(contingency_table!$B2:$C2) * SUM(contingency_table!$B$2:$B$6)) / SUM(contingency_table!$B$2:$C$6)</f>
        <v>40154.549506386698</v>
      </c>
      <c r="C2">
        <f>(SUM(contingency_table!$B2:$C2) * SUM(contingency_table!$C$2:$C$6)) / SUM(contingency_table!$B$2:$C$6)</f>
        <v>159723.45049361329</v>
      </c>
    </row>
    <row r="3" spans="1:3" x14ac:dyDescent="0.45">
      <c r="A3" t="s">
        <v>12</v>
      </c>
      <c r="B3">
        <f>(SUM(contingency_table!$B3:$C3) * SUM(contingency_table!$B$2:$B$6)) / SUM(contingency_table!$B$2:$C$6)</f>
        <v>74228.199368946574</v>
      </c>
      <c r="C3">
        <f>(SUM(contingency_table!$B3:$C3) * SUM(contingency_table!$C$2:$C$6)) / SUM(contingency_table!$B$2:$C$6)</f>
        <v>295258.80063105345</v>
      </c>
    </row>
    <row r="4" spans="1:3" x14ac:dyDescent="0.45">
      <c r="A4" t="s">
        <v>14</v>
      </c>
      <c r="B4">
        <f>(SUM(contingency_table!$B4:$C4) * SUM(contingency_table!$B$2:$B$6)) / SUM(contingency_table!$B$2:$C$6)</f>
        <v>82554.505710023135</v>
      </c>
      <c r="C4">
        <f>(SUM(contingency_table!$B4:$C4) * SUM(contingency_table!$C$2:$C$6)) / SUM(contingency_table!$B$2:$C$6)</f>
        <v>328378.49428997684</v>
      </c>
    </row>
    <row r="5" spans="1:3" x14ac:dyDescent="0.45">
      <c r="A5" t="s">
        <v>16</v>
      </c>
      <c r="B5">
        <f>(SUM(contingency_table!$B5:$C5) * SUM(contingency_table!$B$2:$B$6)) / SUM(contingency_table!$B$2:$C$6)</f>
        <v>44041.069857553695</v>
      </c>
      <c r="C5">
        <f>(SUM(contingency_table!$B5:$C5) * SUM(contingency_table!$C$2:$C$6)) / SUM(contingency_table!$B$2:$C$6)</f>
        <v>175182.9301424463</v>
      </c>
    </row>
    <row r="6" spans="1:3" x14ac:dyDescent="0.45">
      <c r="A6" t="s">
        <v>18</v>
      </c>
      <c r="B6">
        <f>(SUM(contingency_table!$B6:$C6) * SUM(contingency_table!$B$2:$B$6)) / SUM(contingency_table!$B$2:$C$6)</f>
        <v>21468.675557089897</v>
      </c>
      <c r="C6">
        <f>(SUM(contingency_table!$B6:$C6) * SUM(contingency_table!$C$2:$C$6)) / SUM(contingency_table!$B$2:$C$6)</f>
        <v>85396.324442910103</v>
      </c>
    </row>
    <row r="9" spans="1:3" x14ac:dyDescent="0.45">
      <c r="A9" s="1" t="s">
        <v>25</v>
      </c>
      <c r="B9" s="2">
        <f>_xlfn.CHISQ.TEST(contingency_table!B2:C6, expected_values!B2:C6)</f>
        <v>0</v>
      </c>
      <c r="C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grade_summary</vt:lpstr>
      <vt:lpstr>contingency_table</vt:lpstr>
      <vt:lpstr>expected_values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Sharma</cp:lastModifiedBy>
  <dcterms:created xsi:type="dcterms:W3CDTF">2026-09-24T08:58:39Z</dcterms:created>
  <dcterms:modified xsi:type="dcterms:W3CDTF">2026-09-24T08:58:40Z</dcterms:modified>
</cp:coreProperties>
</file>